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droje dat" sheetId="1" state="visible" r:id="rId3"/>
    <sheet name="Výchozí paramet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<sst xmlns="http://schemas.openxmlformats.org/spreadsheetml/2006/main" count="97" uniqueCount="85">
  <si>
    <t xml:space="preserve">DriveWise – zdroje dat pro kalkulačku TCO</t>
  </si>
  <si>
    <t xml:space="preserve">Stav k 11. 10. 2026. Navazuje na Brainstorm-2026-10-09.md, bod #2. Ceny a pravidla před použitím ověřit.</t>
  </si>
  <si>
    <t xml:space="preserve">Složka TCO</t>
  </si>
  <si>
    <t xml:space="preserve">Zdroj dat</t>
  </si>
  <si>
    <t xml:space="preserve">Dostupnost</t>
  </si>
  <si>
    <t xml:space="preserve">Řešení v MVP</t>
  </si>
  <si>
    <t xml:space="preserve">Odkaz</t>
  </si>
  <si>
    <t xml:space="preserve">Pořizovací cena</t>
  </si>
  <si>
    <t xml:space="preserve">Už ji máte ze scraperu (tabulka prices).</t>
  </si>
  <si>
    <t xml:space="preserve">Hotovo</t>
  </si>
  <si>
    <t xml:space="preserve">Použít přímo.</t>
  </si>
  <si>
    <t xml:space="preserve">Spotřeba (l/100 km, kWh/100 km)</t>
  </si>
  <si>
    <t xml:space="preserve">1) Ceníky výrobců: kombinovaná spotřeba a CO₂ podle WLTP, stačí rozšířit parsery. 2) Záloha: otevřený dataset EEA „CO₂ emissions from new passenger cars“ (nařízení EU 2019/631), CSV po značce/modelu/variantě; názvy polí ověřit. 3) Dopočet z CO₂: benzín ≈ g/km ÷ 23,7, nafta ≈ g/km ÷ 26,5.</t>
  </si>
  <si>
    <t xml:space="preserve">Potřebuje práci</t>
  </si>
  <si>
    <t xml:space="preserve">Nejvyšší priorita. U vozů bez spotřeby TCO nezobrazovat.</t>
  </si>
  <si>
    <t xml:space="preserve">https://www.eea.europa.eu/en/datahub</t>
  </si>
  <si>
    <t xml:space="preserve">Ceny paliv</t>
  </si>
  <si>
    <t xml:space="preserve">ČSÚ – týdenní průměrné ceny Natural 95 a nafty.</t>
  </si>
  <si>
    <t xml:space="preserve">Volně dostupné</t>
  </si>
  <si>
    <t xml:space="preserve">2–3 čísla ručně aktualizovaná v adminu.</t>
  </si>
  <si>
    <t xml:space="preserve">https://csu.gov.cz/vys/ceny-pohonnych-hmot-v-roce-2022</t>
  </si>
  <si>
    <t xml:space="preserve">Cena elektřiny</t>
  </si>
  <si>
    <t xml:space="preserve">ERÚ / ceníky dodavatelů pro domácí nabíjení; ceníky sítí (ČEZ, PRE…) pro veřejné nabíjení.</t>
  </si>
  <si>
    <t xml:space="preserve">Parametry: Kč/kWh doma, Kč/kWh venku, poměr doma/venku – upravitelné uživatelem.</t>
  </si>
  <si>
    <t xml:space="preserve">https://www.businessinfo.cz/clanky/od-ledna-2026-nizsi-ceny-elektriny-pro-domacnosti-a-firmy-eru-vydal-zmenovy-cenovy-vymer/</t>
  </si>
  <si>
    <t xml:space="preserve">Silniční daň</t>
  </si>
  <si>
    <t xml:space="preserve">Pro osobní auta zrušena; platí se jen za nákladní vozy od 12 t.</t>
  </si>
  <si>
    <t xml:space="preserve">V TCO = 0 Kč.</t>
  </si>
  <si>
    <t xml:space="preserve">https://www.businessinfo.cz/clanky/silnicni-dan-zaplatte-po-novem-roce-dan-se-stale-tyka-aut-nad-12-tun-dockala-se-ale-zmen/</t>
  </si>
  <si>
    <t xml:space="preserve">Dálniční známka</t>
  </si>
  <si>
    <t xml:space="preserve">2026: roční 2 570 Kč; elektromobily a vodík 0 Kč. Zmrazení cen pro 2027 je zatím jen návrh.</t>
  </si>
  <si>
    <t xml:space="preserve">Konstanta v konfiguraci (list Výchozí parametry).</t>
  </si>
  <si>
    <t xml:space="preserve">https://www.finance.cz/aktuality/rusi-se-valorizace-cen-dalnicnich-znamek-co-elektromobily-budou-v-roce-2027-platit-za-dalnicni-znamku/</t>
  </si>
  <si>
    <t xml:space="preserve">Povinné ručení + havarijní</t>
  </si>
  <si>
    <t xml:space="preserve">Otevřená data nejsou. Srovnávače (Srovnejto, Klik…) zakazují scraping v podmínkách užití.</t>
  </si>
  <si>
    <t xml:space="preserve">Nedostupné</t>
  </si>
  <si>
    <t xml:space="preserve">Paušál: povinné ručení podle výkonu (kW), havarijní jako % z ceny; upravitelné uživatelem.</t>
  </si>
  <si>
    <t xml:space="preserve">Servis a pneu</t>
  </si>
  <si>
    <t xml:space="preserve">Servisní balíčky výrobců (některé ceníky je mají jako příplatkovou výbavu, např. Škoda). ADAC Autokosten jen jako orientace (německý trh, data nepřebírat).</t>
  </si>
  <si>
    <t xml:space="preserve">Paušál Kč/km podle segmentu a pohonu; elektromobily levněji.</t>
  </si>
  <si>
    <t xml:space="preserve">https://www.adac.de/rund-ums-fahrzeug/auto-kaufen-verkaufen/autokosten/guenstigste-mittelklasse-autos/</t>
  </si>
  <si>
    <t xml:space="preserve">Zůstatková hodnota</t>
  </si>
  <si>
    <t xml:space="preserve">Zdarma kvalitní data nejsou. Placeně Eurotax/Autovista. Křivky z inzerce (Sauto, TipCars) narážejí na podmínky užití.</t>
  </si>
  <si>
    <t xml:space="preserve">Pro MVP vynechat, nebo hrubá % křivka podle segmentu a pohonu označená jako odhad.</t>
  </si>
  <si>
    <t xml:space="preserve">https://autovista24.autovistagroup.com/?p=47406</t>
  </si>
  <si>
    <t xml:space="preserve">Doporučený postup</t>
  </si>
  <si>
    <t xml:space="preserve">1. Nejdřív spotřeba: zjistit, kolik powertrains má spotřebu vyplněnou, a doplnit ji z ceníků, případně z datasetu EEA.</t>
  </si>
  <si>
    <t xml:space="preserve">2. Ostatní položky dát do konfigurace jako transparentní výchozí hodnoty s datem aktualizace; uživatel si je může přepsat (nájezd, poměr nabíjení, pojištění).</t>
  </si>
  <si>
    <t xml:space="preserve">3. Výsledek ukazovat jako odhad; u vozů bez spotřeby TCO nezobrazovat.</t>
  </si>
  <si>
    <t xml:space="preserve">Výchozí parametry TCO</t>
  </si>
  <si>
    <t xml:space="preserve">Modré = zadaná hodnota, žlutá výplň = doplnit/aktualizovat. Černé = vzorec.</t>
  </si>
  <si>
    <t xml:space="preserve">Parametr</t>
  </si>
  <si>
    <t xml:space="preserve">Hodnota</t>
  </si>
  <si>
    <t xml:space="preserve">Jednotka</t>
  </si>
  <si>
    <t xml:space="preserve">Zdroj / poznámka</t>
  </si>
  <si>
    <t xml:space="preserve">Dálniční známka roční (spalovací)</t>
  </si>
  <si>
    <t xml:space="preserve">Kč/rok</t>
  </si>
  <si>
    <t xml:space="preserve">Finance.cz, 20. 5. 2026; platí pro 2026</t>
  </si>
  <si>
    <t xml:space="preserve">Dálniční známka roční (elektromobil, EL)</t>
  </si>
  <si>
    <t xml:space="preserve">Finance.cz, 20. 5. 2026</t>
  </si>
  <si>
    <t xml:space="preserve">Silniční daň (osobní auto)</t>
  </si>
  <si>
    <t xml:space="preserve">BusinessInfo – zrušena pro osobní auta</t>
  </si>
  <si>
    <t xml:space="preserve">Cena Natural 95</t>
  </si>
  <si>
    <t xml:space="preserve">Kč/l</t>
  </si>
  <si>
    <t xml:space="preserve">Doplnit z aktuálního týdenního přehledu ČSÚ</t>
  </si>
  <si>
    <t xml:space="preserve">Cena nafty</t>
  </si>
  <si>
    <t xml:space="preserve">Elektřina – domácí nabíjení</t>
  </si>
  <si>
    <t xml:space="preserve">Kč/kWh</t>
  </si>
  <si>
    <t xml:space="preserve">Doplnit: ceník dodavatele / ERÚ</t>
  </si>
  <si>
    <t xml:space="preserve">Elektřina – veřejné nabíjení</t>
  </si>
  <si>
    <t xml:space="preserve">Doplnit: ceník sítě (ČEZ, PRE…)</t>
  </si>
  <si>
    <t xml:space="preserve">Podíl nabíjení doma</t>
  </si>
  <si>
    <t xml:space="preserve">%</t>
  </si>
  <si>
    <t xml:space="preserve">Uživatelský parametr</t>
  </si>
  <si>
    <t xml:space="preserve">Převod CO₂ → spotřeba, benzín</t>
  </si>
  <si>
    <t xml:space="preserve">g/km na 1 l/100 km</t>
  </si>
  <si>
    <t xml:space="preserve">Přibližný faktor (≈2,37 kg CO₂/l)</t>
  </si>
  <si>
    <t xml:space="preserve">Převod CO₂ → spotřeba, nafta</t>
  </si>
  <si>
    <t xml:space="preserve">Přibližný faktor (≈2,65 kg CO₂/l)</t>
  </si>
  <si>
    <t xml:space="preserve">Pomocný převod CO₂ (WLTP) → spotřeba</t>
  </si>
  <si>
    <t xml:space="preserve">CO₂ WLTP (g/km)</t>
  </si>
  <si>
    <t xml:space="preserve">Příklad – přepište hodnotou vozu</t>
  </si>
  <si>
    <t xml:space="preserve">Spotřeba benzín (l/100 km)</t>
  </si>
  <si>
    <t xml:space="preserve">l/100 km</t>
  </si>
  <si>
    <t xml:space="preserve">Spotřeba nafta (l/100 km)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</si>
</sst>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#,##0.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ea.europa.eu/en/datahub" TargetMode="External"/><Relationship Id="rId2" Type="http://schemas.openxmlformats.org/officeDocument/2006/relationships/hyperlink" Target="https://csu.gov.cz/vys/ceny-pohonnych-hmot-v-roce-2022" TargetMode="External"/><Relationship Id="rId3" Type="http://schemas.openxmlformats.org/officeDocument/2006/relationships/hyperlink" Target="https://www.businessinfo.cz/clanky/od-ledna-2026-nizsi-ceny-elektriny-pro-domacnosti-a-firmy-eru-vydal-zmenovy-cenovy-vymer/" TargetMode="External"/><Relationship Id="rId4" Type="http://schemas.openxmlformats.org/officeDocument/2006/relationships/hyperlink" Target="https://www.businessinfo.cz/clanky/silnicni-dan-zaplatte-po-novem-roce-dan-se-stale-tyka-aut-nad-12-tun-dockala-se-ale-zmen/" TargetMode="External"/><Relationship Id="rId5" Type="http://schemas.openxmlformats.org/officeDocument/2006/relationships/hyperlink" Target="https://www.finance.cz/aktuality/rusi-se-valorizace-cen-dalnicnich-znamek-co-elektromobily-budou-v-roce-2027-platit-za-dalnicni-znamku/" TargetMode="External"/><Relationship Id="rId6" Type="http://schemas.openxmlformats.org/officeDocument/2006/relationships/hyperlink" Target="https://www.adac.de/rund-ums-fahrzeug/auto-kaufen-verkaufen/autokosten/guenstigste-mittelklasse-autos/" TargetMode="External"/><Relationship Id="rId7" Type="http://schemas.openxmlformats.org/officeDocument/2006/relationships/hyperlink" Target="https://autovista24.autovistagroup.com/?p=4740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/>
    </row>
    <row r="6" customFormat="false" ht="64.9" hidden="false" customHeight="false" outlineLevel="0" collapsed="false">
      <c r="A6" s="4" t="s">
        <v>11</v>
      </c>
      <c r="B6" s="4" t="s">
        <v>12</v>
      </c>
      <c r="C6" s="4" t="s">
        <v>13</v>
      </c>
      <c r="D6" s="4" t="s">
        <v>14</v>
      </c>
      <c r="E6" s="5" t="s">
        <v>15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s">
        <v>18</v>
      </c>
      <c r="D7" s="4" t="s">
        <v>19</v>
      </c>
      <c r="E7" s="5" t="s">
        <v>20</v>
      </c>
    </row>
    <row r="8" customFormat="false" ht="26.85" hidden="false" customHeight="false" outlineLevel="0" collapsed="false">
      <c r="A8" s="4" t="s">
        <v>21</v>
      </c>
      <c r="B8" s="4" t="s">
        <v>22</v>
      </c>
      <c r="C8" s="4" t="s">
        <v>18</v>
      </c>
      <c r="D8" s="4" t="s">
        <v>23</v>
      </c>
      <c r="E8" s="5" t="s">
        <v>24</v>
      </c>
    </row>
    <row r="9" customFormat="false" ht="15" hidden="false" customHeight="false" outlineLevel="0" collapsed="false">
      <c r="A9" s="4" t="s">
        <v>25</v>
      </c>
      <c r="B9" s="4" t="s">
        <v>26</v>
      </c>
      <c r="C9" s="4" t="s">
        <v>18</v>
      </c>
      <c r="D9" s="4" t="s">
        <v>27</v>
      </c>
      <c r="E9" s="5" t="s">
        <v>28</v>
      </c>
    </row>
    <row r="10" customFormat="false" ht="26.85" hidden="false" customHeight="false" outlineLevel="0" collapsed="false">
      <c r="A10" s="4" t="s">
        <v>29</v>
      </c>
      <c r="B10" s="4" t="s">
        <v>30</v>
      </c>
      <c r="C10" s="4" t="s">
        <v>18</v>
      </c>
      <c r="D10" s="4" t="s">
        <v>31</v>
      </c>
      <c r="E10" s="5" t="s">
        <v>32</v>
      </c>
    </row>
    <row r="11" customFormat="false" ht="26.85" hidden="false" customHeight="false" outlineLevel="0" collapsed="false">
      <c r="A11" s="4" t="s">
        <v>33</v>
      </c>
      <c r="B11" s="4" t="s">
        <v>34</v>
      </c>
      <c r="C11" s="4" t="s">
        <v>35</v>
      </c>
      <c r="D11" s="4" t="s">
        <v>36</v>
      </c>
      <c r="E11" s="4"/>
    </row>
    <row r="12" customFormat="false" ht="39.55" hidden="false" customHeight="false" outlineLevel="0" collapsed="false">
      <c r="A12" s="4" t="s">
        <v>37</v>
      </c>
      <c r="B12" s="4" t="s">
        <v>38</v>
      </c>
      <c r="C12" s="4" t="s">
        <v>13</v>
      </c>
      <c r="D12" s="4" t="s">
        <v>39</v>
      </c>
      <c r="E12" s="5" t="s">
        <v>40</v>
      </c>
    </row>
    <row r="13" customFormat="false" ht="26.85" hidden="false" customHeight="false" outlineLevel="0" collapsed="false">
      <c r="A13" s="4" t="s">
        <v>41</v>
      </c>
      <c r="B13" s="4" t="s">
        <v>42</v>
      </c>
      <c r="C13" s="4" t="s">
        <v>35</v>
      </c>
      <c r="D13" s="4" t="s">
        <v>43</v>
      </c>
      <c r="E13" s="5" t="s">
        <v>44</v>
      </c>
    </row>
    <row r="15" customFormat="false" ht="15" hidden="false" customHeight="false" outlineLevel="0" collapsed="false">
      <c r="A15" s="6" t="s">
        <v>45</v>
      </c>
    </row>
    <row r="16" customFormat="false" ht="30" hidden="false" customHeight="true" outlineLevel="0" collapsed="false">
      <c r="A16" s="7" t="s">
        <v>46</v>
      </c>
      <c r="B16" s="7"/>
      <c r="C16" s="7"/>
      <c r="D16" s="7"/>
    </row>
    <row r="17" customFormat="false" ht="30" hidden="false" customHeight="true" outlineLevel="0" collapsed="false">
      <c r="A17" s="7" t="s">
        <v>47</v>
      </c>
      <c r="B17" s="7"/>
      <c r="C17" s="7"/>
      <c r="D17" s="7"/>
    </row>
    <row r="18" customFormat="false" ht="30" hidden="false" customHeight="true" outlineLevel="0" collapsed="false">
      <c r="A18" s="7" t="s">
        <v>48</v>
      </c>
      <c r="B18" s="7"/>
      <c r="C18" s="7"/>
      <c r="D18" s="7"/>
    </row>
  </sheetData>
  <mergeCells count="3">
    <mergeCell ref="A16:D16"/>
    <mergeCell ref="A17:D17"/>
    <mergeCell ref="A18:D18"/>
  </mergeCells>
  <conditionalFormatting sqref="C5:C13">
    <cfRule type="cellIs" priority="2" operator="equal" aboveAverage="0" equalAverage="0" bottom="0" percent="0" rank="0" text="" dxfId="0">
      <formula>"Hotovo"</formula>
    </cfRule>
    <cfRule type="cellIs" priority="3" operator="equal" aboveAverage="0" equalAverage="0" bottom="0" percent="0" rank="0" text="" dxfId="1">
      <formula>"Volně dostupné"</formula>
    </cfRule>
    <cfRule type="cellIs" priority="4" operator="equal" aboveAverage="0" equalAverage="0" bottom="0" percent="0" rank="0" text="" dxfId="2">
      <formula>"Potřebuje práci"</formula>
    </cfRule>
    <cfRule type="cellIs" priority="5" operator="equal" aboveAverage="0" equalAverage="0" bottom="0" percent="0" rank="0" text="" dxfId="3">
      <formula>"Nedostupné"</formula>
    </cfRule>
  </conditionalFormatting>
  <dataValidations count="1">
    <dataValidation allowBlank="true" errorStyle="stop" operator="between" showDropDown="false" showErrorMessage="false" showInputMessage="false" sqref="C5:C13" type="list">
      <formula1>"Hotovo,Volně dostupné,Potřebuje práci,Nedostupné"</formula1>
      <formula2>0</formula2>
    </dataValidation>
  </dataValidations>
  <hyperlinks>
    <hyperlink ref="E6" r:id="rId1" display="https://www.eea.europa.eu/en/datahub"/>
    <hyperlink ref="E7" r:id="rId2" display="https://csu.gov.cz/vys/ceny-pohonnych-hmot-v-roce-2022"/>
    <hyperlink ref="E8" r:id="rId3" display="https://www.businessinfo.cz/clanky/od-ledna-2026-nizsi-ceny-elektriny-pro-domacnosti-a-firmy-eru-vydal-zmenovy-cenovy-vymer/"/>
    <hyperlink ref="E9" r:id="rId4" display="https://www.businessinfo.cz/clanky/silnicni-dan-zaplatte-po-novem-roce-dan-se-stale-tyka-aut-nad-12-tun-dockala-se-ale-zmen/"/>
    <hyperlink ref="E10" r:id="rId5" display="https://www.finance.cz/aktuality/rusi-se-valorizace-cen-dalnicnich-znamek-co-elektromobily-budou-v-roce-2027-platit-za-dalnicni-znamku/"/>
    <hyperlink ref="E12" r:id="rId6" display="https://www.adac.de/rund-ums-fahrzeug/auto-kaufen-verkaufen/autokosten/guenstigste-mittelklasse-autos/"/>
    <hyperlink ref="E13" r:id="rId7" display="https://autovista24.autovistagroup.com/?p=4740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8" t="s">
        <v>51</v>
      </c>
      <c r="B4" s="8" t="s">
        <v>52</v>
      </c>
      <c r="C4" s="8" t="s">
        <v>53</v>
      </c>
      <c r="D4" s="8" t="s">
        <v>54</v>
      </c>
    </row>
    <row r="5" customFormat="false" ht="15" hidden="false" customHeight="false" outlineLevel="0" collapsed="false">
      <c r="A5" s="9" t="s">
        <v>55</v>
      </c>
      <c r="B5" s="10" t="n">
        <v>2570</v>
      </c>
      <c r="C5" s="9" t="s">
        <v>56</v>
      </c>
      <c r="D5" s="9" t="s">
        <v>57</v>
      </c>
    </row>
    <row r="6" customFormat="false" ht="15" hidden="false" customHeight="false" outlineLevel="0" collapsed="false">
      <c r="A6" s="9" t="s">
        <v>58</v>
      </c>
      <c r="B6" s="10" t="n">
        <v>0</v>
      </c>
      <c r="C6" s="9" t="s">
        <v>56</v>
      </c>
      <c r="D6" s="9" t="s">
        <v>59</v>
      </c>
    </row>
    <row r="7" customFormat="false" ht="15" hidden="false" customHeight="false" outlineLevel="0" collapsed="false">
      <c r="A7" s="9" t="s">
        <v>60</v>
      </c>
      <c r="B7" s="10" t="n">
        <v>0</v>
      </c>
      <c r="C7" s="9" t="s">
        <v>56</v>
      </c>
      <c r="D7" s="9" t="s">
        <v>61</v>
      </c>
    </row>
    <row r="8" customFormat="false" ht="15" hidden="false" customHeight="false" outlineLevel="0" collapsed="false">
      <c r="A8" s="9" t="s">
        <v>62</v>
      </c>
      <c r="B8" s="11"/>
      <c r="C8" s="9" t="s">
        <v>63</v>
      </c>
      <c r="D8" s="9" t="s">
        <v>64</v>
      </c>
    </row>
    <row r="9" customFormat="false" ht="15" hidden="false" customHeight="false" outlineLevel="0" collapsed="false">
      <c r="A9" s="9" t="s">
        <v>65</v>
      </c>
      <c r="B9" s="11"/>
      <c r="C9" s="9" t="s">
        <v>63</v>
      </c>
      <c r="D9" s="9" t="s">
        <v>64</v>
      </c>
    </row>
    <row r="10" customFormat="false" ht="15" hidden="false" customHeight="false" outlineLevel="0" collapsed="false">
      <c r="A10" s="9" t="s">
        <v>66</v>
      </c>
      <c r="B10" s="11"/>
      <c r="C10" s="9" t="s">
        <v>67</v>
      </c>
      <c r="D10" s="9" t="s">
        <v>68</v>
      </c>
    </row>
    <row r="11" customFormat="false" ht="15" hidden="false" customHeight="false" outlineLevel="0" collapsed="false">
      <c r="A11" s="9" t="s">
        <v>69</v>
      </c>
      <c r="B11" s="11"/>
      <c r="C11" s="9" t="s">
        <v>67</v>
      </c>
      <c r="D11" s="9" t="s">
        <v>70</v>
      </c>
    </row>
    <row r="12" customFormat="false" ht="15" hidden="false" customHeight="false" outlineLevel="0" collapsed="false">
      <c r="A12" s="9" t="s">
        <v>71</v>
      </c>
      <c r="B12" s="12"/>
      <c r="C12" s="9" t="s">
        <v>72</v>
      </c>
      <c r="D12" s="9" t="s">
        <v>73</v>
      </c>
    </row>
    <row r="13" customFormat="false" ht="15" hidden="false" customHeight="false" outlineLevel="0" collapsed="false">
      <c r="A13" s="9" t="s">
        <v>74</v>
      </c>
      <c r="B13" s="13" t="n">
        <v>23.7</v>
      </c>
      <c r="C13" s="9" t="s">
        <v>75</v>
      </c>
      <c r="D13" s="9" t="s">
        <v>76</v>
      </c>
    </row>
    <row r="14" customFormat="false" ht="15" hidden="false" customHeight="false" outlineLevel="0" collapsed="false">
      <c r="A14" s="9" t="s">
        <v>77</v>
      </c>
      <c r="B14" s="13" t="n">
        <v>26.5</v>
      </c>
      <c r="C14" s="9" t="s">
        <v>75</v>
      </c>
      <c r="D14" s="9" t="s">
        <v>78</v>
      </c>
    </row>
    <row r="16" customFormat="false" ht="15" hidden="false" customHeight="false" outlineLevel="0" collapsed="false">
      <c r="A16" s="6" t="s">
        <v>79</v>
      </c>
    </row>
    <row r="17" customFormat="false" ht="15" hidden="false" customHeight="false" outlineLevel="0" collapsed="false">
      <c r="A17" s="14" t="s">
        <v>80</v>
      </c>
      <c r="B17" s="15" t="n">
        <v>130</v>
      </c>
      <c r="D17" s="16" t="s">
        <v>81</v>
      </c>
    </row>
    <row r="18" customFormat="false" ht="15" hidden="false" customHeight="false" outlineLevel="0" collapsed="false">
      <c r="A18" s="14" t="s">
        <v>82</v>
      </c>
      <c r="B18" s="17" t="n">
        <f aca="false">B17/B13</f>
        <v>5.48523206751055</v>
      </c>
      <c r="C18" s="14" t="s">
        <v>83</v>
      </c>
    </row>
    <row r="19" customFormat="false" ht="15" hidden="false" customHeight="false" outlineLevel="0" collapsed="false">
      <c r="A19" s="14" t="s">
        <v>84</v>
      </c>
      <c r="B19" s="17" t="n">
        <f aca="false">B17/B14</f>
        <v>4.90566037735849</v>
      </c>
      <c r="C19" s="1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2026-10-11T20:45:08Z</dcterms:created>
  <dc:creator>openpyxl</dc:creator>
  <dc:description/>
  <dc:language>en-US</dc:language>
  <cp:lastModifiedBy/>
  <dcterms:modified xsi:type="dcterms:W3CDTF">2026-10-11T20:45:08Z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